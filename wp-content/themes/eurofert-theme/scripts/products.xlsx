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xampp\htdocs\eurofert\wp-content\themes\eurofert-theme\scripts\"/>
    </mc:Choice>
  </mc:AlternateContent>
  <xr:revisionPtr revIDLastSave="0" documentId="13_ncr:1_{BF425181-466E-457F-91B3-294C70C4DF65}" xr6:coauthVersionLast="47" xr6:coauthVersionMax="47" xr10:uidLastSave="{00000000-0000-0000-0000-000000000000}"/>
  <bookViews>
    <workbookView xWindow="-108" yWindow="-108" windowWidth="23256" windowHeight="12456" xr2:uid="{76D0BCB8-E73B-4392-8B84-A7325E8578D8}"/>
  </bookViews>
  <sheets>
    <sheet name="produ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c r="E9" i="1" s="1"/>
  <c r="B8" i="1"/>
  <c r="J8" i="1" s="1"/>
  <c r="B7" i="1"/>
  <c r="E7" i="1" s="1"/>
  <c r="B6" i="1"/>
  <c r="J6" i="1" s="1"/>
  <c r="E5" i="1"/>
  <c r="B5" i="1"/>
  <c r="E3" i="1"/>
  <c r="E4" i="1"/>
  <c r="J4" i="1"/>
  <c r="B4" i="1"/>
  <c r="J3" i="1"/>
  <c r="B3" i="1"/>
  <c r="B2" i="1"/>
  <c r="J2" i="1" s="1"/>
  <c r="D22" i="1"/>
  <c r="D23" i="1"/>
  <c r="D24" i="1"/>
  <c r="D25" i="1"/>
  <c r="D26" i="1"/>
  <c r="D27" i="1"/>
  <c r="D28" i="1"/>
  <c r="D29" i="1"/>
  <c r="D30" i="1"/>
  <c r="J9" i="1" l="1"/>
  <c r="E8" i="1"/>
  <c r="J7" i="1"/>
  <c r="E6" i="1"/>
  <c r="J5" i="1"/>
  <c r="E2" i="1"/>
</calcChain>
</file>

<file path=xl/sharedStrings.xml><?xml version="1.0" encoding="utf-8"?>
<sst xmlns="http://schemas.openxmlformats.org/spreadsheetml/2006/main" count="60" uniqueCount="50">
  <si>
    <t>title</t>
  </si>
  <si>
    <t>slug</t>
  </si>
  <si>
    <t>content</t>
  </si>
  <si>
    <t>category_slug</t>
  </si>
  <si>
    <t>local_image_path</t>
  </si>
  <si>
    <t>subtitle</t>
  </si>
  <si>
    <t>key_benefits</t>
  </si>
  <si>
    <t>formula</t>
  </si>
  <si>
    <t>nutrient_rows</t>
  </si>
  <si>
    <t>recommendations_file_path</t>
  </si>
  <si>
    <t>Colfert Essential N</t>
  </si>
  <si>
    <t>A highly concentrated liquid nitrogen formulation containing three nitrogen forms: Nitric, Ammonium, and Ureic to ensure balanced nutrition and sustained growth. Plants absorb nitrogen primarily as Nitrate NO&lt;sub&gt;3&lt;/sub&gt;&lt;sup&gt;?&lt;/sup&gt; and Ammonium NH&lt;sub&gt;4&lt;/sub&gt;&lt;sup&gt;+&lt;/sup&gt; ions, while Urea converts to NO&lt;sub&gt;3&lt;/sub&gt;&lt;sup&gt;-&lt;/sup&gt;  after hydrolysis, ensuring continuous nitrogen availability.</t>
  </si>
  <si>
    <t>Suitable for foliar spraying and fertigation during vegetative growth to enhance vigor and leaf expansion.</t>
  </si>
  <si>
    <t>40-0-0</t>
  </si>
  <si>
    <t>Nitric-N | 11.0 \n Ammoniacal-N | 11.0 \n Ureic-N | 18.0</t>
  </si>
  <si>
    <t>colfert-essential</t>
  </si>
  <si>
    <t>Colfert Essential KTC</t>
  </si>
  <si>
    <t>A clear liquid fertilizer rich in Potassium complexed with Citric Acids with very low Chlorine content. The organic potassium citrate form ensures rapid uptake through both roots and leaves during potassium-demanding stages.</t>
  </si>
  <si>
    <t xml:space="preserve">0-0-36+ 50% </t>
  </si>
  <si>
    <t>Enhances fruit size, sugar content, and color development\n Improves soil properties, buffering capacity, and microbial activity.\nIncreases plant vitality, vigor, and disease resistance.</t>
  </si>
  <si>
    <t>Colfert Essential P</t>
  </si>
  <si>
    <t>Nitric-N|5.0/nAmmoniacal-N |1.5/nUreic-N | 3.5\np2o5|40.0\nK2O|5.0</t>
  </si>
  <si>
    <t>5-40-5</t>
  </si>
  <si>
    <t>A phosphorus-rich liquid fertilizer with a naturally acidic pH, ensuring optimum root adsorption and improved nutrient availability, especially in alkaline soils. Ideal for starter applications, root development, and flower induction.</t>
  </si>
  <si>
    <t>helps to balance the pH of alkaline spray solutions.</t>
  </si>
  <si>
    <t>Colfert Essential PK</t>
  </si>
  <si>
    <t>A fully water-soluble liquid fertilizer providing high concentrations of Phosphorus and Potassium.
It enhances flower initiation, fruit size, and total solids, while improving plant resilience to stress, disease, and unfavorable growing conditions.</t>
  </si>
  <si>
    <t>0-33-44</t>
  </si>
  <si>
    <t>P2O5 | 33%
K2O  | 44%</t>
  </si>
  <si>
    <t>K2O | 36.0 \n Organic Matter |50.0</t>
  </si>
  <si>
    <t>Colfert Power 12-61-0</t>
  </si>
  <si>
    <t>colfert-power</t>
  </si>
  <si>
    <t>A unique formulation designed for root development and flowering stages, suitable for both fertigation and foliar spraying.
Its high concentration of fully available phosphorus promotes the formation of a strong, dense root system, resulting in improved vegetative growth. It is also highly effective in rebuilding root systems following root diseases or nematode infections.
When applied during the flowering stage, it helps stimulate flowering and increase flower numbers.
Enriched with essential trace elements in balanced concentrations, it enhances plant strength and supports vigorous early growth.</t>
  </si>
  <si>
    <t>High-Phosphorus Formula for Rooting &amp; Flowering</t>
  </si>
  <si>
    <t>Chemically mixed, homogeneous NPK paste
100% water-soluble and chloride-free
Highly acidic – improves nutrient availability and system cleanliness
Reduces algae growth and calcium deposits in drippers
Compatible with most fertilizers and pesticides (compatibility test recommended)</t>
  </si>
  <si>
    <t>Total Nitrogen | 12 
Nitrate (NO3-N) | 0 
Ammonium (NH4-N) |  12
Urea (NH2-N) | 0
Phosphate (P2O5) | 61 
Potassium (K2O) | 0
PH (1/1000) | 2.0 - 3.0
Solubility g/lt at 20 C⁰ |  500</t>
  </si>
  <si>
    <t>12-61-0+TE</t>
  </si>
  <si>
    <t>High-Potassium Formula for Fruiting &amp; Ripening</t>
  </si>
  <si>
    <t>Colfert Power 15-20-50</t>
  </si>
  <si>
    <t>A specialized formulation designed to enhance fruit size, quality, and yield.
Its high potassium content increases the sugar and carbohydrate levels in fruits, improving taste and market value.
Recommended for use during the fruiting and ripening stages to maintain an optimal balance between vegetative growth and fruit development, extending the crop’s productive life.
Enriched with essential micronutrients to ensure healthy growth and prevent deficiencies.</t>
  </si>
  <si>
    <t>15-20-50 +TE</t>
  </si>
  <si>
    <t>Total Nitrogen|15
Nitrate (NO3-N)|8
Ammonium (NH4-N)|4
Urea (NH2-N)|3
Phosphate (P2O5)|20
Potassium (K2O)|50
pH (1/1000)|2.0 - 3.0
Solubility g/lt at 20 C°|250</t>
  </si>
  <si>
    <t>Colfert Power 20-20-20</t>
  </si>
  <si>
    <t>Balanced NPK Formula</t>
  </si>
  <si>
    <t>A balanced formulation that serves as a general-purpose fertilizer suitable for all crops designed to correct deficiencies in major nutrients.
Ideal for crops with gradual ripening, requiring simultaneous high levels of N, P, and K to support new flower development, fruit ripening, and vegetative growth.
Thanks to its unique chemical structure, this formula offers higher efficiency than conventional balanced NPK products.
Enriched with essential micronutrients to promote healthy plant growth and prevent nutrient deficiencies.</t>
  </si>
  <si>
    <t>20-20-20 +TE</t>
  </si>
  <si>
    <t>Total Nitrogen|20
Nitrate (NO3-N)|5.5
Ammonium (NH4-N)|9
Urea (NH2-N)|5.5
Phosphate (P2O5)|20
Potassium (K2O)|20
pH (1/1000)|2.0 - 3.0
Solubility g/lt at 20 C°|300</t>
  </si>
  <si>
    <t>Colfert Power 20-50-10</t>
  </si>
  <si>
    <t>Colfert Power 20-50-10+TE</t>
  </si>
  <si>
    <t>A unique formulation designed for the root development and flowering stages, suitable for both fertigation and foliar application.
The high concentration of fully available phosphorus promotes a strong, dense root system, leading to better vegetative growth.
Adequate levels of potassium enhance disease resistance and tolerance to adverse conditions, while also helping restore root systems affected by root diseases or nematode damage.
When applied during the flowering stage, it stimulates flower initiation and increases flower numbers.
Enriched with balanced trace elements, it strengthens the plant and supports vigorous early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</si>
</sst>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9DF18-60EF-45E6-8A64-D7A75B72A210}">
  <dimension ref="A1:J30"/>
  <sheetViews>
    <sheetView tabSelected="1" topLeftCell="D8" workbookViewId="0">
      <selection activeCell="I9" sqref="I9"/>
    </sheetView>
  </sheetViews>
  <sheetFormatPr defaultRowHeight="14.4" x14ac:dyDescent="0.3"/>
  <cols>
    <col min="1" max="1" width="18.77734375" bestFit="1" customWidth="1"/>
    <col min="2" max="2" width="20.109375" bestFit="1" customWidth="1"/>
    <col min="3" max="3" width="30.44140625" customWidth="1"/>
    <col min="4" max="4" width="16.5546875" bestFit="1" customWidth="1"/>
    <col min="5" max="5" width="25.109375" style="1" customWidth="1"/>
    <col min="6" max="6" width="41.5546875" bestFit="1" customWidth="1"/>
    <col min="7" max="7" width="32.77734375" customWidth="1"/>
    <col min="8" max="8" width="12.6640625" customWidth="1"/>
    <col min="9" max="9" width="18.5546875" customWidth="1"/>
    <col min="10" max="10" width="26.21875" style="1" customWidth="1"/>
  </cols>
  <sheetData>
    <row r="1" spans="1:10" x14ac:dyDescent="0.3">
      <c r="A1" t="s">
        <v>0</v>
      </c>
      <c r="B1" t="s">
        <v>1</v>
      </c>
      <c r="C1" t="s">
        <v>2</v>
      </c>
      <c r="D1" t="s">
        <v>3</v>
      </c>
      <c r="E1" s="1" t="s">
        <v>4</v>
      </c>
      <c r="F1" t="s">
        <v>5</v>
      </c>
      <c r="G1" t="s">
        <v>6</v>
      </c>
      <c r="H1" t="s">
        <v>7</v>
      </c>
      <c r="I1" t="s">
        <v>8</v>
      </c>
      <c r="J1" s="1" t="s">
        <v>9</v>
      </c>
    </row>
    <row r="2" spans="1:10" x14ac:dyDescent="0.3">
      <c r="A2" t="s">
        <v>10</v>
      </c>
      <c r="B2" t="str">
        <f>SUBSTITUTE(LOWER(A2), " ", "-")</f>
        <v>colfert-essential-n</v>
      </c>
      <c r="C2" t="s">
        <v>11</v>
      </c>
      <c r="D2" t="s">
        <v>15</v>
      </c>
      <c r="E2" s="1" t="str">
        <f>IF(B2="","", B2 &amp; ".webp")</f>
        <v>colfert-essential-n.webp</v>
      </c>
      <c r="G2" t="s">
        <v>12</v>
      </c>
      <c r="H2" t="s">
        <v>13</v>
      </c>
      <c r="I2" t="s">
        <v>14</v>
      </c>
      <c r="J2" s="1" t="str">
        <f>IF(B2="","", B2 &amp; ".json")</f>
        <v>colfert-essential-n.json</v>
      </c>
    </row>
    <row r="3" spans="1:10" x14ac:dyDescent="0.3">
      <c r="A3" t="s">
        <v>16</v>
      </c>
      <c r="B3" t="str">
        <f>SUBSTITUTE(LOWER(A3), " ", "-")</f>
        <v>colfert-essential-ktc</v>
      </c>
      <c r="C3" t="s">
        <v>17</v>
      </c>
      <c r="D3" t="s">
        <v>15</v>
      </c>
      <c r="E3" s="1" t="str">
        <f>IF(B3="","", B3 &amp; ".webp")</f>
        <v>colfert-essential-ktc.webp</v>
      </c>
      <c r="G3" t="s">
        <v>19</v>
      </c>
      <c r="H3" t="s">
        <v>18</v>
      </c>
      <c r="I3" t="s">
        <v>29</v>
      </c>
      <c r="J3" s="1" t="str">
        <f>IF(B3="","", B3 &amp; ".json")</f>
        <v>colfert-essential-ktc.json</v>
      </c>
    </row>
    <row r="4" spans="1:10" ht="24" customHeight="1" x14ac:dyDescent="0.3">
      <c r="A4" t="s">
        <v>20</v>
      </c>
      <c r="B4" t="str">
        <f t="shared" ref="B4:B5" si="0">SUBSTITUTE(LOWER(A4), " ", "-")</f>
        <v>colfert-essential-p</v>
      </c>
      <c r="C4" s="1" t="s">
        <v>23</v>
      </c>
      <c r="D4" t="s">
        <v>15</v>
      </c>
      <c r="E4" s="1" t="str">
        <f t="shared" ref="E4:E9" si="1">IF(B4="","", B4 &amp; ".webp")</f>
        <v>colfert-essential-p.webp</v>
      </c>
      <c r="F4" t="s">
        <v>24</v>
      </c>
      <c r="H4" t="s">
        <v>22</v>
      </c>
      <c r="I4" t="s">
        <v>21</v>
      </c>
      <c r="J4" s="1" t="str">
        <f>IF(B4="","", B4 &amp; ".json")</f>
        <v>colfert-essential-p.json</v>
      </c>
    </row>
    <row r="5" spans="1:10" ht="115.2" x14ac:dyDescent="0.3">
      <c r="A5" t="s">
        <v>25</v>
      </c>
      <c r="B5" t="str">
        <f t="shared" si="0"/>
        <v>colfert-essential-pk</v>
      </c>
      <c r="C5" s="1" t="s">
        <v>26</v>
      </c>
      <c r="D5" t="s">
        <v>15</v>
      </c>
      <c r="E5" s="1" t="str">
        <f t="shared" si="1"/>
        <v>colfert-essential-pk.webp</v>
      </c>
      <c r="H5" t="s">
        <v>27</v>
      </c>
      <c r="I5" s="1" t="s">
        <v>28</v>
      </c>
      <c r="J5" s="1" t="str">
        <f>IF(B5="","", B5 &amp; ".json")</f>
        <v>colfert-essential-pk.json</v>
      </c>
    </row>
    <row r="6" spans="1:10" ht="288" x14ac:dyDescent="0.3">
      <c r="A6" t="s">
        <v>30</v>
      </c>
      <c r="B6" t="str">
        <f>SUBSTITUTE(LOWER(A6), " ", "-")</f>
        <v>colfert-power-12-61-0</v>
      </c>
      <c r="C6" s="1" t="s">
        <v>32</v>
      </c>
      <c r="D6" t="s">
        <v>31</v>
      </c>
      <c r="E6" s="1" t="str">
        <f t="shared" si="1"/>
        <v>colfert-power-12-61-0.webp</v>
      </c>
      <c r="F6" t="s">
        <v>33</v>
      </c>
      <c r="G6" s="1" t="s">
        <v>34</v>
      </c>
      <c r="H6" t="s">
        <v>36</v>
      </c>
      <c r="I6" s="1" t="s">
        <v>35</v>
      </c>
      <c r="J6" s="1" t="str">
        <f>IF(B6="","", B6 &amp; ".json")</f>
        <v>colfert-power-12-61-0.json</v>
      </c>
    </row>
    <row r="7" spans="1:10" ht="230.4" x14ac:dyDescent="0.3">
      <c r="A7" t="s">
        <v>38</v>
      </c>
      <c r="B7" t="str">
        <f>SUBSTITUTE(LOWER(A7), " ", "-")</f>
        <v>colfert-power-15-20-50</v>
      </c>
      <c r="C7" s="1" t="s">
        <v>39</v>
      </c>
      <c r="D7" t="s">
        <v>31</v>
      </c>
      <c r="E7" s="1" t="str">
        <f t="shared" si="1"/>
        <v>colfert-power-15-20-50.webp</v>
      </c>
      <c r="F7" t="s">
        <v>37</v>
      </c>
      <c r="G7" s="1" t="s">
        <v>34</v>
      </c>
      <c r="H7" t="s">
        <v>40</v>
      </c>
      <c r="I7" s="1" t="s">
        <v>41</v>
      </c>
      <c r="J7" s="1" t="str">
        <f>IF(B7="","", B7 &amp; ".json")</f>
        <v>colfert-power-15-20-50.json</v>
      </c>
    </row>
    <row r="8" spans="1:10" ht="259.2" x14ac:dyDescent="0.3">
      <c r="A8" t="s">
        <v>42</v>
      </c>
      <c r="B8" t="str">
        <f>SUBSTITUTE(LOWER(A8), " ", "-")</f>
        <v>colfert-power-20-20-20</v>
      </c>
      <c r="C8" s="1" t="s">
        <v>44</v>
      </c>
      <c r="D8" t="s">
        <v>31</v>
      </c>
      <c r="E8" s="1" t="str">
        <f t="shared" si="1"/>
        <v>colfert-power-20-20-20.webp</v>
      </c>
      <c r="F8" t="s">
        <v>43</v>
      </c>
      <c r="G8" s="1" t="s">
        <v>34</v>
      </c>
      <c r="H8" t="s">
        <v>45</v>
      </c>
      <c r="I8" s="1" t="s">
        <v>46</v>
      </c>
      <c r="J8" s="1" t="str">
        <f>IF(B8="","", B8 &amp; ".json")</f>
        <v>colfert-power-20-20-20.json</v>
      </c>
    </row>
    <row r="9" spans="1:10" ht="288" x14ac:dyDescent="0.3">
      <c r="A9" t="s">
        <v>47</v>
      </c>
      <c r="B9" t="str">
        <f>SUBSTITUTE(LOWER(A9), " ", "-")</f>
        <v>colfert-power-20-50-10</v>
      </c>
      <c r="C9" s="1" t="s">
        <v>49</v>
      </c>
      <c r="D9" t="s">
        <v>31</v>
      </c>
      <c r="E9" s="1" t="str">
        <f t="shared" si="1"/>
        <v>colfert-power-20-50-10.webp</v>
      </c>
      <c r="F9" t="s">
        <v>33</v>
      </c>
      <c r="G9" s="1" t="s">
        <v>34</v>
      </c>
      <c r="H9" t="s">
        <v>48</v>
      </c>
      <c r="J9" s="1" t="str">
        <f>IF(B9="","", B9 &amp; ".json")</f>
        <v>colfert-power-20-50-10.json</v>
      </c>
    </row>
    <row r="22" spans="4:4" x14ac:dyDescent="0.3">
      <c r="D22" t="str">
        <f t="shared" ref="D22:D30" si="2">SUBSTITUTE(LOWER(A22), " ", "-")</f>
        <v/>
      </c>
    </row>
    <row r="23" spans="4:4" x14ac:dyDescent="0.3">
      <c r="D23" t="str">
        <f t="shared" si="2"/>
        <v/>
      </c>
    </row>
    <row r="24" spans="4:4" x14ac:dyDescent="0.3">
      <c r="D24" t="str">
        <f t="shared" si="2"/>
        <v/>
      </c>
    </row>
    <row r="25" spans="4:4" x14ac:dyDescent="0.3">
      <c r="D25" t="str">
        <f t="shared" si="2"/>
        <v/>
      </c>
    </row>
    <row r="26" spans="4:4" x14ac:dyDescent="0.3">
      <c r="D26" t="str">
        <f t="shared" si="2"/>
        <v/>
      </c>
    </row>
    <row r="27" spans="4:4" x14ac:dyDescent="0.3">
      <c r="D27" t="str">
        <f t="shared" si="2"/>
        <v/>
      </c>
    </row>
    <row r="28" spans="4:4" x14ac:dyDescent="0.3">
      <c r="D28" t="str">
        <f t="shared" si="2"/>
        <v/>
      </c>
    </row>
    <row r="29" spans="4:4" x14ac:dyDescent="0.3">
      <c r="D29" t="str">
        <f t="shared" si="2"/>
        <v/>
      </c>
    </row>
    <row r="30" spans="4:4" x14ac:dyDescent="0.3">
      <c r="D30" t="str">
        <f t="shared" si="2"/>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Safieddine</dc:creator>
  <cp:lastModifiedBy>ahmad safieddine</cp:lastModifiedBy>
  <dcterms:created xsi:type="dcterms:W3CDTF">2026-04-09T09:41:13Z</dcterms:created>
  <dcterms:modified xsi:type="dcterms:W3CDTF">2026-06-05T02:09:23Z</dcterms:modified>
</cp:coreProperties>
</file>