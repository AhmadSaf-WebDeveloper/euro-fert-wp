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xampp\htdocs\eurofert\wp-content\themes\eurofert-theme\scripts\"/>
    </mc:Choice>
  </mc:AlternateContent>
  <xr:revisionPtr revIDLastSave="0" documentId="13_ncr:1_{D1094B55-5BAA-45DA-9926-8288F1356D8C}" xr6:coauthVersionLast="47" xr6:coauthVersionMax="47" xr10:uidLastSave="{00000000-0000-0000-0000-000000000000}"/>
  <bookViews>
    <workbookView xWindow="-108" yWindow="-108" windowWidth="23256" windowHeight="12456" xr2:uid="{00000000-000D-0000-FFFF-FFFF00000000}"/>
  </bookViews>
  <sheets>
    <sheet name="product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1" l="1" a="1"/>
  <c r="H6" i="1" s="1"/>
  <c r="H7" i="1" a="1"/>
  <c r="H7" i="1" s="1"/>
  <c r="H8" i="1" a="1"/>
  <c r="H8" i="1" s="1"/>
  <c r="H9" i="1" a="1"/>
  <c r="H9" i="1" s="1"/>
  <c r="H10" i="1" a="1"/>
  <c r="H10" i="1" s="1"/>
  <c r="H11" i="1" a="1"/>
  <c r="H11" i="1" s="1"/>
  <c r="H12" i="1" a="1"/>
  <c r="H12" i="1" s="1"/>
  <c r="H13" i="1" a="1"/>
  <c r="H13" i="1" s="1"/>
  <c r="H14" i="1" a="1"/>
  <c r="H14" i="1" s="1"/>
  <c r="H15" i="1" a="1"/>
  <c r="H15" i="1" s="1"/>
  <c r="H16" i="1" a="1"/>
  <c r="H16" i="1" s="1"/>
  <c r="H17" i="1" a="1"/>
  <c r="H17" i="1" s="1"/>
  <c r="H18" i="1" a="1"/>
  <c r="H18" i="1" s="1"/>
  <c r="J11" i="1"/>
  <c r="J15" i="1"/>
  <c r="J16" i="1"/>
  <c r="J17" i="1"/>
  <c r="J18" i="1"/>
  <c r="J10" i="1"/>
  <c r="B11" i="1"/>
  <c r="B12" i="1"/>
  <c r="J12" i="1" s="1"/>
  <c r="B13" i="1"/>
  <c r="E13" i="1" s="1"/>
  <c r="B14" i="1"/>
  <c r="J14" i="1" s="1"/>
  <c r="B10" i="1"/>
  <c r="E15" i="1"/>
  <c r="E16" i="1"/>
  <c r="E17" i="1"/>
  <c r="E18" i="1"/>
  <c r="D16" i="1"/>
  <c r="D17" i="1"/>
  <c r="B3" i="1"/>
  <c r="E3" i="1" s="1"/>
  <c r="B4" i="1"/>
  <c r="J4" i="1" s="1"/>
  <c r="B5" i="1"/>
  <c r="J5" i="1" s="1"/>
  <c r="B6" i="1"/>
  <c r="E6" i="1" s="1"/>
  <c r="B7" i="1"/>
  <c r="J7" i="1" s="1"/>
  <c r="B8" i="1"/>
  <c r="D8" i="1" s="1"/>
  <c r="B9" i="1"/>
  <c r="D9" i="1" s="1"/>
  <c r="B2" i="1"/>
  <c r="D2" i="1" s="1"/>
  <c r="J13" i="1" l="1"/>
  <c r="J2" i="1"/>
  <c r="E14" i="1"/>
  <c r="E10" i="1"/>
  <c r="D14" i="1"/>
  <c r="D13" i="1"/>
  <c r="E12" i="1"/>
  <c r="D12" i="1"/>
  <c r="E2" i="1"/>
  <c r="E8" i="1"/>
  <c r="J9" i="1"/>
  <c r="D7" i="1"/>
  <c r="E7" i="1"/>
  <c r="J8" i="1"/>
  <c r="E9" i="1"/>
  <c r="D5" i="1"/>
  <c r="E5" i="1"/>
  <c r="J6" i="1"/>
  <c r="D4" i="1"/>
  <c r="E4" i="1"/>
  <c r="D6" i="1"/>
  <c r="D3" i="1"/>
  <c r="J3" i="1"/>
  <c r="D11" i="1"/>
  <c r="E11" i="1"/>
  <c r="D10"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<sst xmlns="http://schemas.openxmlformats.org/spreadsheetml/2006/main" count="142" uniqueCount="67">
  <si>
    <t>title</t>
  </si>
  <si>
    <t>slug</t>
  </si>
  <si>
    <t>content</t>
  </si>
  <si>
    <t>category_slug</t>
  </si>
  <si>
    <t>local_image_path</t>
  </si>
  <si>
    <t>subtitle</t>
  </si>
  <si>
    <t>key_benefits</t>
  </si>
  <si>
    <t>formula</t>
  </si>
  <si>
    <t>nutrient_rows</t>
  </si>
  <si>
    <t>recommendations_file_path</t>
  </si>
  <si>
    <t>packages_content</t>
  </si>
  <si>
    <t>Colfert Essential N</t>
  </si>
  <si>
    <t>A highly concentrated liquid nitrogen formulation containing three nitrogen forms: Nitric, Ammonium, and Ureic to ensure balanced nutrition and sustained growth. Plants absorb nitrogen primarily as Nitrate NO&lt;sub&gt;3&lt;/sub&gt;&lt;sup&gt;?&lt;/sup&gt; and Ammonium NH&lt;sub&gt;4&lt;/sub&gt;&lt;sup&gt;+&lt;/sup&gt; ions, while Urea converts to NO&lt;sub&gt;3&lt;/sub&gt;&lt;sup&gt;-&lt;/sup&gt;  after hydrolysis, ensuring continuous nitrogen availability.</t>
  </si>
  <si>
    <t/>
  </si>
  <si>
    <t>Suitable for foliar spraying and fertigation during vegetative growth to enhance vigor and leaf expansion.</t>
  </si>
  <si>
    <t>40-0-0</t>
  </si>
  <si>
    <t>Nitric-N | 11.0 \n Ammoniacal-N | 11.0 \n Ureic-N | 18.0</t>
  </si>
  <si>
    <t>Colfert Essential KTC</t>
  </si>
  <si>
    <t>A clear liquid fertilizer rich in Potassium complexed with Citric Acids with very low Chlorine content. The organic potassium citrate form ensures rapid uptake through both roots and leaves during potassium-demanding stages.</t>
  </si>
  <si>
    <t>Enhances fruit size, sugar content, and color development\n Improves soil properties, buffering capacity, and microbial activity.\nIncreases plant vitality, vigor, and disease resistance.</t>
  </si>
  <si>
    <t>K2O | 36.0 \n Organic Matter |50.0</t>
  </si>
  <si>
    <t>Colfert Essential P</t>
  </si>
  <si>
    <t>A phosphorus-rich liquid fertilizer with a naturally acidic pH, ensuring optimum root adsorption and improved nutrient availability, especially in alkaline soils. Ideal for starter applications, root development, and flower induction.</t>
  </si>
  <si>
    <t>helps to balance the pH of alkaline spray solutions.</t>
  </si>
  <si>
    <t>5-40-5</t>
  </si>
  <si>
    <t>Nitric-N|5.0/nAmmoniacal-N |1.5/nUreic-N | 3.5\np2o5|40.0\nK2O|5.0</t>
  </si>
  <si>
    <t>Colfert Essential PK</t>
  </si>
  <si>
    <t>A fully water-soluble liquid fertilizer providing high concentrations of Phosphorus and Potassium._x000D_
It enhances flower initiation, fruit size, and total solids, while improving plant resilience to stress, disease, and unfavorable growing conditions.</t>
  </si>
  <si>
    <t>0-33-44</t>
  </si>
  <si>
    <t>P2O5 | 33%_x000D_
K2O  | 44%</t>
  </si>
  <si>
    <t>Colfert Power 12-61-0</t>
  </si>
  <si>
    <t>A unique formulation designed for root development and flowering stages, suitable for both fertigation and foliar spraying._x000D_
Its high concentration of fully available phosphorus promotes the formation of a strong, dense root system, resulting in improved vegetative growth. It is also highly effective in rebuilding root systems following root diseases or nematode infections._x000D_
When applied during the flowering stage, it helps stimulate flowering and increase flower numbers._x000D_
Enriched with essential trace elements in balanced concentrations, it enhances plant strength and supports vigorous early growth.</t>
  </si>
  <si>
    <t>High-Phosphorus Formula for Rooting &amp; Flowering</t>
  </si>
  <si>
    <t>Chemically mixed, homogeneous NPK paste_x000D_
100% water-soluble and chloride-free_x000D_
Highly acidic – improves nutrient availability and system cleanliness_x000D_
Reduces algae growth and calcium deposits in drippers_x000D_
Compatible with most fertilizers and pesticides (compatibility test recommended)</t>
  </si>
  <si>
    <t>Total Nitrogen | 12 _x000D_
Nitrate (NO3-N) | 0 _x000D_
Ammonium (NH4-N) |  12_x000D_
Urea (NH2-N) | 0_x000D_
Phosphate (P2O5) | 61 _x000D_
Potassium (K2O) | 0_x000D_
PH (1/1000) | 2.0 - 3.0_x000D_
Solubility g/lt at 20 C⁰ |  500</t>
  </si>
  <si>
    <t>Colfert Power 15-20-50</t>
  </si>
  <si>
    <t>A specialized formulation designed to enhance fruit size, quality, and yield._x000D_
Its high potassium content increases the sugar and carbohydrate levels in fruits, improving taste and market value._x000D_
Recommended for use during the fruiting and ripening stages to maintain an optimal balance between vegetative growth and fruit development, extending the crop’s productive life._x000D_
Enriched with essential micronutrients to ensure healthy growth and prevent deficiencies.</t>
  </si>
  <si>
    <t>High-Potassium Formula for Fruiting &amp; Ripening</t>
  </si>
  <si>
    <t>Colfert Power 20-20-20</t>
  </si>
  <si>
    <t>A balanced formulation that serves as a general-purpose fertilizer suitable for all crops designed to correct deficiencies in major nutrients._x000D_
Ideal for crops with gradual ripening, requiring simultaneous high levels of N, P, and K to support new flower development, fruit ripening, and vegetative growth._x000D_
Thanks to its unique chemical structure, this formula offers higher efficiency than conventional balanced NPK products._x000D_
Enriched with essential micronutrients to promote healthy plant growth and prevent nutrient deficiencies.</t>
  </si>
  <si>
    <t>Balanced NPK Formula</t>
  </si>
  <si>
    <t>Total Nitrogen|20_x000D_
Nitrate (NO3-N)|5.5_x000D_
Ammonium (NH4-N)|9_x000D_
Urea (NH2-N)|5.5_x000D_
Phosphate (P2O5)|20_x000D_
Potassium (K2O)|20_x000D_
pH (1/1000)|2.0 - 3.0_x000D_
Solubility g/lt at 20 C°|300</t>
  </si>
  <si>
    <t>Colfert Power 20-50-10</t>
  </si>
  <si>
    <t>A unique formulation designed for the root development and flowering stages, suitable for both fertigation and foliar application._x000D_
The high concentration of fully available phosphorus promotes a strong, dense root system, leading to better vegetative growth._x000D_
Adequate levels of potassium enhance disease resistance and tolerance to adverse conditions, while also helping restore root systems affected by root diseases or nematode damage._x000D_
When applied during the flowering stage, it stimulates flower initiation and increases flower numbers._x000D_
Enriched with balanced trace elements, it strengthens the plant and supports vigorous early growth.</t>
  </si>
  <si>
    <t>Total Nitrogen|20\nNitrate (NO3-N)|0\nAmmonium (NH4-N)|2\nUrea (NH2-N)|18\nPhosphate (P2O5)|50\nPotassium (K2O)|10\npH (1/1000)|2.5 - 3.5\nSolubility g/lt at 20 C°|400</t>
  </si>
  <si>
    <t>The Colfert foliar NPK fertilizer range is formulated to deliver essential nutrients directly through the leaves for fast, efficient absorption. This advanced formulation promotes vigorous vegetative growth, enhances flowering and fruit set, and significantly improves both yield and quality.</t>
  </si>
  <si>
    <t>Stimulates chlorophyll formation and enhances leaf vitality
Promotes abundant flowering and improved fruit setting
Strengthens plant resistance to stress conditions
Boosts yield and enhances overall crop quality
Ensure rapid absorption &amp; correction of nutrient deficiencies
Contains fully chelated micronutrients for optimal uptake
Very low in chloride and sodium, ensuring maximum crop safety</t>
  </si>
  <si>
    <t>Chemically mixed, homogeneous NPK paste
100% water-soluble and chloride-free
Highly acidic – improves nutrient availability and system cleanliness
Reduces algae growth and calcium deposits in drippers
Compatible with most fertilizers and pesticides (compatibility test recommended)</t>
  </si>
  <si>
    <t>High N</t>
  </si>
  <si>
    <t>Total Nitrogen | 30 \n Ammoniacal-N (NH4-N) | 2 \n Nitric-N (NO3-N) | 2.9 \n Ureic-N (NH2-N) | 25.1 \n Phosphate (P2O5) | 10 \n Potassium (K2O) | 10 \n Magnesium (MgO) | 2 \n Sulfur Trioxide (SO3) | 4 \n Boron | 0.01 \n Copper* | 0.02 \n Iron* | 0.05 \n Manganese* | 0.04 \n Molybdenum | 0.001 \n Zinc* | 0.02</t>
  </si>
  <si>
    <t>recommendations_json</t>
  </si>
  <si>
    <t>[{"crop":"Arable crops, vegetables, fruit trees","fertigation":"2 – 5 Kg/Ha","foliar":"","time":""},{"crop":"Nurseries &amp; Ornamentals","fertigation":"150 – 300 g/100 L of water","foliar":"","time":""}]</t>
  </si>
  <si>
    <t>1 kg, 10 kg, 25kg</t>
  </si>
  <si>
    <t>Colfert Foliar 30-10-10 +TE</t>
  </si>
  <si>
    <t>Colfert Foliar 10-10-40 +TE</t>
  </si>
  <si>
    <t>High K</t>
  </si>
  <si>
    <t>0-0-36+ 50%</t>
  </si>
  <si>
    <t>Total Nitrogen|15
Nitrate (NO3-N)|8
Ammonium (NH4-N)|4
Urea (NH2-N)|3
Phosphate (P2O5)|20
Potassium (K2O)|50
pH (1/1000)|2.0 - 3.0
Solubility g/lt at 20 C°|250</t>
  </si>
  <si>
    <t xml:space="preserve">Total Nitrogen|10
Ammoniacal-N (NH4-N)|0
Nitric-N (NO3-N)|5.4
Ureic-N (NH2-N)|4.6
Phosphate (P2O5)|10
Potassium (K2O)|40
Sulfur Trioxide (SO3)|13.5
Boron|0.01
Copper*|0.02
Iron*|0.05
Manganese*|0.04
Molybdenum|0.001
Zinc*|0.02 </t>
  </si>
  <si>
    <t>Colfert Foliar 20-20-20 +TE</t>
  </si>
  <si>
    <t>Balance</t>
  </si>
  <si>
    <t>Total Nitrogen|20
Ammoniacal-N (NH4-N)|2.4
Nitric-N (NO3-N)|4.3
Ureic-N (NH2-N)|13.2
Phosphate (P2O5)|20
Potassium (K2O)|20
Magnesium (MgO)|1
Sulfur Trioxide (SO3)|2
Boron|0.01
Copper*|0.02
Iron*|0.05
Manganese*|0.04
Molybdenum|0.001
Zinc*|0.02</t>
  </si>
  <si>
    <t>Colfert Foliar 12-48-8 +TE</t>
  </si>
  <si>
    <t>High P</t>
  </si>
  <si>
    <t>Total Nitrogen|12
Ammoniacal-N (NH4-N)|8
Nitric-N (NO3-N)|0
Ureic-N (NH2-N)|4
Phosphate (P2O5)|48
Potassium (K2O)|8
Magnesium (MgO)|1
Sulfur Trioxide (SO3)|5
Boron|0.01
Copper*|0.02
Iron*|0.05
Manganese*|0.04
Molybdenum|0.001
Zinc*|0.02</t>
  </si>
  <si>
    <t>Colfert Foliar 15-5-30 +TE</t>
  </si>
  <si>
    <t>Total Nitrogen|15
Ammoniacal-N (NH4-N)|1
Nitric-N (NO3-N)|3.7
Ureic-N (NH2-N)|10.3
Phosphate (P2O5)|5
Potassium (K2O)|30
Magnesium (MgO)|2
Sulfur Trioxide (SO3)|19.5
Boron|0.01
Copper*|0.02
Iron*|0.05
Manganese*|0.04
Molybdenum|0.001
Zinc*|0.02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</si>
</sst>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wrapText="1"/>
    </xf>
    <xf numFmtId="0" fontId="0" fillId="0" borderId="0" xfId="0" applyAlignment="1"/>
  </cellXfs>
  <cellStyles count="1">
    <cellStyle name="Normal" xfId="0" builtinId="0"/>
  </cellStyles>
  <dxfs count="1">
    <dxf>
      <alignment horizontal="general" vertical="bottom" textRotation="0" wrapText="0" indent="0" justifyLastLine="0" shrinkToFit="0" readingOrder="0"/>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494B0DF-D027-438F-A4D2-293CE04AC4BE}" name="Table1" displayName="Table1" ref="A1:L18" totalsRowShown="0">
  <autoFilter ref="A1:L18" xr:uid="{0494B0DF-D027-438F-A4D2-293CE04AC4BE}"/>
  <tableColumns count="12">
    <tableColumn id="1" xr3:uid="{5D4C21B3-8D7F-41A5-AC7F-965FB9BE6891}" name="title"/>
    <tableColumn id="2" xr3:uid="{26889905-EFE8-44C5-AE7C-032F4B9915DB}" name="slug"/>
    <tableColumn id="3" xr3:uid="{1B8C8307-7500-428E-870A-CD033ADFD8F3}" name="content"/>
    <tableColumn id="4" xr3:uid="{BF5C3923-6BEF-4A4E-974F-953FB204BE94}" name="category_slug"/>
    <tableColumn id="5" xr3:uid="{ACED1FE6-92D4-4BC5-A6F9-DBC13553C30E}" name="local_image_path">
      <calculatedColumnFormula>IF(B2="", "", B2 &amp; ".webp")</calculatedColumnFormula>
    </tableColumn>
    <tableColumn id="6" xr3:uid="{F54B9109-FAE1-460E-8C88-87A5D7AC75BB}" name="subtitle"/>
    <tableColumn id="7" xr3:uid="{0FC1B192-DEF0-4CED-86DB-754595426F1E}" name="key_benefits" dataDxfId="0"/>
    <tableColumn id="8" xr3:uid="{EB479CD4-CE24-41F9-BFBC-1E024C798CF6}" name="formula">
      <calculatedColumnFormula array="1">IF(COUNT(FIND({0,1,2,3,4,5,6,7,8,9}, Table1[[#This Row],[title]]))=0, "",
    _xlfn.LET(
        _xlpm.text, Table1[[#This Row],[title]],
        _xlpm.startNum, MIN(FIND({0,1,2,3,4,5,6,7,8,9}, _xlpm.text&amp;"0123456789")),
        _xlpm.endSpace, FIND(" ", _xlpm.text&amp;" ", _xlpm.startNum),
        MID(_xlpm.text, _xlpm.startNum, _xlpm.endSpace - _xlpm.startNum)
    )
)</calculatedColumnFormula>
    </tableColumn>
    <tableColumn id="9" xr3:uid="{7C10BDA6-8F0D-40B4-9479-697DDBDC92FF}" name="nutrient_rows"/>
    <tableColumn id="10" xr3:uid="{C688EF8B-08F1-4BD7-97DD-31658417BA5A}" name="recommendations_file_path">
      <calculatedColumnFormula>IF(L2&lt;&gt;"", "", IF(B2="", "", B2 &amp; ".json"))</calculatedColumnFormula>
    </tableColumn>
    <tableColumn id="11" xr3:uid="{D9E2066C-B7AA-4003-9F8B-834D537C71A6}" name="packages_content"/>
    <tableColumn id="12" xr3:uid="{4175EFED-3B8F-4F2E-AB1F-DF3A7543149D}" name="recommendations_jso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8"/>
  <sheetViews>
    <sheetView tabSelected="1" workbookViewId="0">
      <selection activeCell="A10" sqref="A10"/>
    </sheetView>
  </sheetViews>
  <sheetFormatPr defaultRowHeight="15.6" x14ac:dyDescent="0.3"/>
  <cols>
    <col min="1" max="1" width="23" bestFit="1" customWidth="1"/>
    <col min="2" max="2" width="28.296875" customWidth="1"/>
    <col min="3" max="3" width="9.19921875" customWidth="1"/>
    <col min="4" max="4" width="14.19921875" bestFit="1" customWidth="1"/>
    <col min="5" max="5" width="24.59765625" customWidth="1"/>
    <col min="6" max="6" width="8.8984375" customWidth="1"/>
    <col min="7" max="7" width="26.8984375" style="2" customWidth="1"/>
    <col min="8" max="8" width="11.3984375" bestFit="1" customWidth="1"/>
    <col min="9" max="9" width="14.09765625" customWidth="1"/>
    <col min="10" max="10" width="25.796875" customWidth="1"/>
    <col min="11" max="11" width="17.69921875" customWidth="1"/>
    <col min="12" max="12" width="22.09765625" customWidth="1"/>
  </cols>
  <sheetData>
    <row r="1" spans="1:12" x14ac:dyDescent="0.3">
      <c r="A1" t="s">
        <v>0</v>
      </c>
      <c r="B1" t="s">
        <v>1</v>
      </c>
      <c r="C1" t="s">
        <v>2</v>
      </c>
      <c r="D1" t="s">
        <v>3</v>
      </c>
      <c r="E1" t="s">
        <v>4</v>
      </c>
      <c r="F1" t="s">
        <v>5</v>
      </c>
      <c r="G1" s="2" t="s">
        <v>6</v>
      </c>
      <c r="H1" t="s">
        <v>7</v>
      </c>
      <c r="I1" t="s">
        <v>8</v>
      </c>
      <c r="J1" t="s">
        <v>9</v>
      </c>
      <c r="K1" t="s">
        <v>10</v>
      </c>
      <c r="L1" t="s">
        <v>50</v>
      </c>
    </row>
    <row r="2" spans="1:12" hidden="1" x14ac:dyDescent="0.3">
      <c r="A2" t="s">
        <v>11</v>
      </c>
      <c r="B2" t="str">
        <f>LOWER(SUBSTITUTE(SUBSTITUTE(TRIM(A2), "+TE", ""), " ", "-"))</f>
        <v>colfert-essential-n</v>
      </c>
      <c r="C2" t="s">
        <v>12</v>
      </c>
      <c r="D2" t="str">
        <f>IFERROR(LEFT(B2, FIND("-", B2, FIND("-", B2) + 1) - 1), B2)</f>
        <v>colfert-essential</v>
      </c>
      <c r="E2" t="str">
        <f>IF(B2="", "", B2 &amp; ".webp")</f>
        <v>colfert-essential-n.webp</v>
      </c>
      <c r="F2" t="s">
        <v>13</v>
      </c>
      <c r="G2" s="2" t="s">
        <v>14</v>
      </c>
      <c r="H2" t="s">
        <v>15</v>
      </c>
      <c r="I2" t="s">
        <v>16</v>
      </c>
      <c r="J2" t="str">
        <f>IF(B2="", "", B2 &amp; ".json")</f>
        <v>colfert-essential-n.json</v>
      </c>
    </row>
    <row r="3" spans="1:12" hidden="1" x14ac:dyDescent="0.3">
      <c r="A3" t="s">
        <v>17</v>
      </c>
      <c r="B3" t="str">
        <f t="shared" ref="B3:B9" si="0">LOWER(SUBSTITUTE(SUBSTITUTE(TRIM(A3), "+TE", ""), " ", "-"))</f>
        <v>colfert-essential-ktc</v>
      </c>
      <c r="C3" t="s">
        <v>18</v>
      </c>
      <c r="D3" t="str">
        <f t="shared" ref="D3:D17" si="1">IFERROR(LEFT(B3, FIND("-", B3, FIND("-", B3) + 1) - 1), B3)</f>
        <v>colfert-essential</v>
      </c>
      <c r="E3" t="str">
        <f t="shared" ref="E3:E18" si="2">IF(B3="", "", B3 &amp; ".webp")</f>
        <v>colfert-essential-ktc.webp</v>
      </c>
      <c r="G3" s="2" t="s">
        <v>19</v>
      </c>
      <c r="H3" t="s">
        <v>56</v>
      </c>
      <c r="I3" t="s">
        <v>20</v>
      </c>
      <c r="J3" t="str">
        <f t="shared" ref="J3:J18" si="3">IF(B3="", "", B3 &amp; ".json")</f>
        <v>colfert-essential-ktc.json</v>
      </c>
      <c r="K3" t="s">
        <v>13</v>
      </c>
    </row>
    <row r="4" spans="1:12" hidden="1" x14ac:dyDescent="0.3">
      <c r="A4" t="s">
        <v>21</v>
      </c>
      <c r="B4" t="str">
        <f t="shared" si="0"/>
        <v>colfert-essential-p</v>
      </c>
      <c r="C4" t="s">
        <v>22</v>
      </c>
      <c r="D4" t="str">
        <f t="shared" si="1"/>
        <v>colfert-essential</v>
      </c>
      <c r="E4" t="str">
        <f t="shared" si="2"/>
        <v>colfert-essential-p.webp</v>
      </c>
      <c r="F4" t="s">
        <v>23</v>
      </c>
      <c r="H4" t="s">
        <v>24</v>
      </c>
      <c r="I4" t="s">
        <v>25</v>
      </c>
      <c r="J4" t="str">
        <f t="shared" si="3"/>
        <v>colfert-essential-p.json</v>
      </c>
      <c r="K4" t="s">
        <v>13</v>
      </c>
    </row>
    <row r="5" spans="1:12" hidden="1" x14ac:dyDescent="0.3">
      <c r="A5" t="s">
        <v>26</v>
      </c>
      <c r="B5" t="str">
        <f t="shared" si="0"/>
        <v>colfert-essential-pk</v>
      </c>
      <c r="C5" t="s">
        <v>27</v>
      </c>
      <c r="D5" t="str">
        <f t="shared" si="1"/>
        <v>colfert-essential</v>
      </c>
      <c r="E5" t="str">
        <f t="shared" si="2"/>
        <v>colfert-essential-pk.webp</v>
      </c>
      <c r="F5" t="s">
        <v>13</v>
      </c>
      <c r="H5" t="s">
        <v>28</v>
      </c>
      <c r="I5" t="s">
        <v>29</v>
      </c>
      <c r="J5" t="str">
        <f t="shared" si="3"/>
        <v>colfert-essential-pk.json</v>
      </c>
      <c r="K5" t="s">
        <v>13</v>
      </c>
    </row>
    <row r="6" spans="1:12" hidden="1" x14ac:dyDescent="0.3">
      <c r="A6" t="s">
        <v>30</v>
      </c>
      <c r="B6" t="str">
        <f t="shared" si="0"/>
        <v>colfert-power-12-61-0</v>
      </c>
      <c r="C6" t="s">
        <v>31</v>
      </c>
      <c r="D6" t="str">
        <f t="shared" si="1"/>
        <v>colfert-power</v>
      </c>
      <c r="E6" t="str">
        <f t="shared" si="2"/>
        <v>colfert-power-12-61-0.webp</v>
      </c>
      <c r="F6" t="s">
        <v>32</v>
      </c>
      <c r="G6" s="2" t="s">
        <v>33</v>
      </c>
      <c r="H6" t="str" cm="1">
        <f t="array" ref="H6">IF(COUNT(FIND({0,1,2,3,4,5,6,7,8,9}, Table1[[#This Row],[title]]))=0, "",
    _xlfn.LET(
        _xlpm.text, Table1[[#This Row],[title]],
        _xlpm.startNum, MIN(FIND({0,1,2,3,4,5,6,7,8,9}, _xlpm.text&amp;"0123456789")),
        _xlpm.endSpace, FIND(" ", _xlpm.text&amp;" ", _xlpm.startNum),
        MID(_xlpm.text, _xlpm.startNum, _xlpm.endSpace - _xlpm.startNum)
    )
)</f>
        <v>12-61-0</v>
      </c>
      <c r="I6" t="s">
        <v>34</v>
      </c>
      <c r="J6" t="str">
        <f t="shared" si="3"/>
        <v>colfert-power-12-61-0.json</v>
      </c>
      <c r="K6" t="s">
        <v>13</v>
      </c>
    </row>
    <row r="7" spans="1:12" ht="16.8" hidden="1" customHeight="1" x14ac:dyDescent="0.3">
      <c r="A7" t="s">
        <v>35</v>
      </c>
      <c r="B7" t="str">
        <f t="shared" si="0"/>
        <v>colfert-power-15-20-50</v>
      </c>
      <c r="C7" t="s">
        <v>36</v>
      </c>
      <c r="D7" t="str">
        <f t="shared" si="1"/>
        <v>colfert-power</v>
      </c>
      <c r="E7" t="str">
        <f t="shared" si="2"/>
        <v>colfert-power-15-20-50.webp</v>
      </c>
      <c r="F7" t="s">
        <v>37</v>
      </c>
      <c r="G7" s="2" t="s">
        <v>33</v>
      </c>
      <c r="H7" t="str" cm="1">
        <f t="array" ref="H7">IF(COUNT(FIND({0,1,2,3,4,5,6,7,8,9}, Table1[[#This Row],[title]]))=0, "",
    _xlfn.LET(
        _xlpm.text, Table1[[#This Row],[title]],
        _xlpm.startNum, MIN(FIND({0,1,2,3,4,5,6,7,8,9}, _xlpm.text&amp;"0123456789")),
        _xlpm.endSpace, FIND(" ", _xlpm.text&amp;" ", _xlpm.startNum),
        MID(_xlpm.text, _xlpm.startNum, _xlpm.endSpace - _xlpm.startNum)
    )
)</f>
        <v>15-20-50</v>
      </c>
      <c r="I7" s="1" t="s">
        <v>57</v>
      </c>
      <c r="J7" t="str">
        <f t="shared" si="3"/>
        <v>colfert-power-15-20-50.json</v>
      </c>
      <c r="K7" t="s">
        <v>13</v>
      </c>
    </row>
    <row r="8" spans="1:12" hidden="1" x14ac:dyDescent="0.3">
      <c r="A8" t="s">
        <v>38</v>
      </c>
      <c r="B8" t="str">
        <f t="shared" si="0"/>
        <v>colfert-power-20-20-20</v>
      </c>
      <c r="C8" t="s">
        <v>39</v>
      </c>
      <c r="D8" t="str">
        <f t="shared" si="1"/>
        <v>colfert-power</v>
      </c>
      <c r="E8" t="str">
        <f t="shared" si="2"/>
        <v>colfert-power-20-20-20.webp</v>
      </c>
      <c r="F8" t="s">
        <v>40</v>
      </c>
      <c r="G8" s="2" t="s">
        <v>33</v>
      </c>
      <c r="H8" t="str" cm="1">
        <f t="array" ref="H8">IF(COUNT(FIND({0,1,2,3,4,5,6,7,8,9}, Table1[[#This Row],[title]]))=0, "",
    _xlfn.LET(
        _xlpm.text, Table1[[#This Row],[title]],
        _xlpm.startNum, MIN(FIND({0,1,2,3,4,5,6,7,8,9}, _xlpm.text&amp;"0123456789")),
        _xlpm.endSpace, FIND(" ", _xlpm.text&amp;" ", _xlpm.startNum),
        MID(_xlpm.text, _xlpm.startNum, _xlpm.endSpace - _xlpm.startNum)
    )
)</f>
        <v>20-20-20</v>
      </c>
      <c r="I8" t="s">
        <v>41</v>
      </c>
      <c r="J8" t="str">
        <f t="shared" si="3"/>
        <v>colfert-power-20-20-20.json</v>
      </c>
      <c r="K8" t="s">
        <v>13</v>
      </c>
    </row>
    <row r="9" spans="1:12" hidden="1" x14ac:dyDescent="0.3">
      <c r="A9" t="s">
        <v>42</v>
      </c>
      <c r="B9" t="str">
        <f t="shared" si="0"/>
        <v>colfert-power-20-50-10</v>
      </c>
      <c r="C9" t="s">
        <v>43</v>
      </c>
      <c r="D9" t="str">
        <f t="shared" si="1"/>
        <v>colfert-power</v>
      </c>
      <c r="E9" t="str">
        <f t="shared" si="2"/>
        <v>colfert-power-20-50-10.webp</v>
      </c>
      <c r="F9" t="s">
        <v>32</v>
      </c>
      <c r="G9" s="2" t="s">
        <v>47</v>
      </c>
      <c r="H9" t="str" cm="1">
        <f t="array" ref="H9">IF(COUNT(FIND({0,1,2,3,4,5,6,7,8,9}, Table1[[#This Row],[title]]))=0, "",
    _xlfn.LET(
        _xlpm.text, Table1[[#This Row],[title]],
        _xlpm.startNum, MIN(FIND({0,1,2,3,4,5,6,7,8,9}, _xlpm.text&amp;"0123456789")),
        _xlpm.endSpace, FIND(" ", _xlpm.text&amp;" ", _xlpm.startNum),
        MID(_xlpm.text, _xlpm.startNum, _xlpm.endSpace - _xlpm.startNum)
    )
)</f>
        <v>20-50-10</v>
      </c>
      <c r="I9" t="s">
        <v>44</v>
      </c>
      <c r="J9" t="str">
        <f t="shared" si="3"/>
        <v>colfert-power-20-50-10.json</v>
      </c>
      <c r="K9" t="s">
        <v>13</v>
      </c>
    </row>
    <row r="10" spans="1:12" ht="19.8" customHeight="1" x14ac:dyDescent="0.3">
      <c r="A10" t="s">
        <v>53</v>
      </c>
      <c r="B10" t="str">
        <f>LOWER(SUBSTITUTE(TRIM(SUBSTITUTE(A10, "+TE", "")), " ", "-"))</f>
        <v>colfert-foliar-30-10-10</v>
      </c>
      <c r="C10" t="s">
        <v>45</v>
      </c>
      <c r="D10" t="str">
        <f t="shared" si="1"/>
        <v>colfert-foliar</v>
      </c>
      <c r="E10" t="str">
        <f>IF(B10="", "", B10 &amp; ".webp")</f>
        <v>colfert-foliar-30-10-10.webp</v>
      </c>
      <c r="F10" t="s">
        <v>48</v>
      </c>
      <c r="G10" s="2" t="s">
        <v>46</v>
      </c>
      <c r="H10" t="str" cm="1">
        <f t="array" ref="H10">IF(COUNT(FIND({0,1,2,3,4,5,6,7,8,9}, Table1[[#This Row],[title]]))=0, "",
    _xlfn.LET(
        _xlpm.text, Table1[[#This Row],[title]],
        _xlpm.startNum, MIN(FIND({0,1,2,3,4,5,6,7,8,9}, _xlpm.text&amp;"0123456789")),
        _xlpm.endSpace, FIND(" ", _xlpm.text&amp;" ", _xlpm.startNum),
        MID(_xlpm.text, _xlpm.startNum, _xlpm.endSpace - _xlpm.startNum)
    )
)</f>
        <v>30-10-10</v>
      </c>
      <c r="I10" t="s">
        <v>49</v>
      </c>
      <c r="J10" t="str">
        <f>IF(L10&lt;&gt;"", "", IF(B10="", "", B10 &amp; ".json"))</f>
        <v/>
      </c>
      <c r="K10" t="s">
        <v>52</v>
      </c>
      <c r="L10" t="s">
        <v>51</v>
      </c>
    </row>
    <row r="11" spans="1:12" ht="14.4" customHeight="1" x14ac:dyDescent="0.3">
      <c r="A11" t="s">
        <v>54</v>
      </c>
      <c r="B11" t="str">
        <f t="shared" ref="B11:B14" si="4">LOWER(SUBSTITUTE(TRIM(SUBSTITUTE(A11, "+TE", "")), " ", "-"))</f>
        <v>colfert-foliar-10-10-40</v>
      </c>
      <c r="C11" t="s">
        <v>45</v>
      </c>
      <c r="D11" t="str">
        <f t="shared" si="1"/>
        <v>colfert-foliar</v>
      </c>
      <c r="E11" t="str">
        <f>IF(B11="", "", B11 &amp; ".webp")</f>
        <v>colfert-foliar-10-10-40.webp</v>
      </c>
      <c r="F11" t="s">
        <v>55</v>
      </c>
      <c r="G11" s="2" t="s">
        <v>46</v>
      </c>
      <c r="H11" t="str" cm="1">
        <f t="array" ref="H11">IF(COUNT(FIND({0,1,2,3,4,5,6,7,8,9}, Table1[[#This Row],[title]]))=0, "",
    _xlfn.LET(
        _xlpm.text, Table1[[#This Row],[title]],
        _xlpm.startNum, MIN(FIND({0,1,2,3,4,5,6,7,8,9}, _xlpm.text&amp;"0123456789")),
        _xlpm.endSpace, FIND(" ", _xlpm.text&amp;" ", _xlpm.startNum),
        MID(_xlpm.text, _xlpm.startNum, _xlpm.endSpace - _xlpm.startNum)
    )
)</f>
        <v>10-10-40</v>
      </c>
      <c r="I11" s="1" t="s">
        <v>58</v>
      </c>
      <c r="J11" t="str">
        <f t="shared" ref="J11:J18" si="5">IF(L11&lt;&gt;"", "", IF(B11="", "", B11 &amp; ".json"))</f>
        <v/>
      </c>
      <c r="K11" t="s">
        <v>52</v>
      </c>
      <c r="L11" t="s">
        <v>51</v>
      </c>
    </row>
    <row r="12" spans="1:12" ht="25.2" customHeight="1" x14ac:dyDescent="0.3">
      <c r="A12" t="s">
        <v>59</v>
      </c>
      <c r="B12" t="str">
        <f t="shared" si="4"/>
        <v>colfert-foliar-20-20-20</v>
      </c>
      <c r="C12" t="s">
        <v>45</v>
      </c>
      <c r="D12" t="str">
        <f t="shared" si="1"/>
        <v>colfert-foliar</v>
      </c>
      <c r="E12" t="str">
        <f t="shared" si="2"/>
        <v>colfert-foliar-20-20-20.webp</v>
      </c>
      <c r="F12" t="s">
        <v>60</v>
      </c>
      <c r="G12" s="2" t="s">
        <v>46</v>
      </c>
      <c r="H12" t="str" cm="1">
        <f t="array" ref="H12">IF(COUNT(FIND({0,1,2,3,4,5,6,7,8,9}, Table1[[#This Row],[title]]))=0, "",
    _xlfn.LET(
        _xlpm.text, Table1[[#This Row],[title]],
        _xlpm.startNum, MIN(FIND({0,1,2,3,4,5,6,7,8,9}, _xlpm.text&amp;"0123456789")),
        _xlpm.endSpace, FIND(" ", _xlpm.text&amp;" ", _xlpm.startNum),
        MID(_xlpm.text, _xlpm.startNum, _xlpm.endSpace - _xlpm.startNum)
    )
)</f>
        <v>20-20-20</v>
      </c>
      <c r="I12" s="1" t="s">
        <v>61</v>
      </c>
      <c r="J12" t="str">
        <f t="shared" si="5"/>
        <v/>
      </c>
      <c r="K12" t="s">
        <v>52</v>
      </c>
      <c r="L12" t="s">
        <v>51</v>
      </c>
    </row>
    <row r="13" spans="1:12" ht="18" customHeight="1" x14ac:dyDescent="0.3">
      <c r="A13" t="s">
        <v>62</v>
      </c>
      <c r="B13" t="str">
        <f t="shared" si="4"/>
        <v>colfert-foliar-12-48-8</v>
      </c>
      <c r="C13" t="s">
        <v>45</v>
      </c>
      <c r="D13" t="str">
        <f t="shared" si="1"/>
        <v>colfert-foliar</v>
      </c>
      <c r="E13" t="str">
        <f t="shared" si="2"/>
        <v>colfert-foliar-12-48-8.webp</v>
      </c>
      <c r="F13" t="s">
        <v>63</v>
      </c>
      <c r="G13" s="2" t="s">
        <v>46</v>
      </c>
      <c r="H13" t="str" cm="1">
        <f t="array" ref="H13">IF(COUNT(FIND({0,1,2,3,4,5,6,7,8,9}, Table1[[#This Row],[title]]))=0, "",
    _xlfn.LET(
        _xlpm.text, Table1[[#This Row],[title]],
        _xlpm.startNum, MIN(FIND({0,1,2,3,4,5,6,7,8,9}, _xlpm.text&amp;"0123456789")),
        _xlpm.endSpace, FIND(" ", _xlpm.text&amp;" ", _xlpm.startNum),
        MID(_xlpm.text, _xlpm.startNum, _xlpm.endSpace - _xlpm.startNum)
    )
)</f>
        <v>12-48-8</v>
      </c>
      <c r="I13" s="1" t="s">
        <v>64</v>
      </c>
      <c r="J13" t="str">
        <f t="shared" si="5"/>
        <v/>
      </c>
      <c r="K13" t="s">
        <v>52</v>
      </c>
      <c r="L13" t="s">
        <v>51</v>
      </c>
    </row>
    <row r="14" spans="1:12" ht="20.399999999999999" customHeight="1" x14ac:dyDescent="0.3">
      <c r="A14" t="s">
        <v>65</v>
      </c>
      <c r="B14" t="str">
        <f t="shared" si="4"/>
        <v>colfert-foliar-15-5-30</v>
      </c>
      <c r="C14" t="s">
        <v>45</v>
      </c>
      <c r="D14" t="str">
        <f t="shared" si="1"/>
        <v>colfert-foliar</v>
      </c>
      <c r="E14" t="str">
        <f t="shared" si="2"/>
        <v>colfert-foliar-15-5-30.webp</v>
      </c>
      <c r="F14" t="s">
        <v>55</v>
      </c>
      <c r="G14" s="2" t="s">
        <v>46</v>
      </c>
      <c r="H14" t="str" cm="1">
        <f t="array" ref="H14">IF(COUNT(FIND({0,1,2,3,4,5,6,7,8,9}, Table1[[#This Row],[title]]))=0, "",
    _xlfn.LET(
        _xlpm.text, Table1[[#This Row],[title]],
        _xlpm.startNum, MIN(FIND({0,1,2,3,4,5,6,7,8,9}, _xlpm.text&amp;"0123456789")),
        _xlpm.endSpace, FIND(" ", _xlpm.text&amp;" ", _xlpm.startNum),
        MID(_xlpm.text, _xlpm.startNum, _xlpm.endSpace - _xlpm.startNum)
    )
)</f>
        <v>15-5-30</v>
      </c>
      <c r="I14" s="1" t="s">
        <v>66</v>
      </c>
      <c r="J14" t="str">
        <f t="shared" si="5"/>
        <v/>
      </c>
      <c r="K14" t="s">
        <v>52</v>
      </c>
      <c r="L14" t="s">
        <v>51</v>
      </c>
    </row>
    <row r="15" spans="1:12" x14ac:dyDescent="0.3">
      <c r="A15" t="s">
        <v>13</v>
      </c>
      <c r="C15" t="s">
        <v>13</v>
      </c>
      <c r="E15" t="str">
        <f t="shared" si="2"/>
        <v/>
      </c>
      <c r="F15" t="s">
        <v>13</v>
      </c>
      <c r="H15" t="str" cm="1">
        <f t="array" ref="H15">IF(COUNT(FIND({0,1,2,3,4,5,6,7,8,9}, Table1[[#This Row],[title]]))=0, "",
    _xlfn.LET(
        _xlpm.text, Table1[[#This Row],[title]],
        _xlpm.startNum, MIN(FIND({0,1,2,3,4,5,6,7,8,9}, _xlpm.text&amp;"0123456789")),
        _xlpm.endSpace, FIND(" ", _xlpm.text&amp;" ", _xlpm.startNum),
        MID(_xlpm.text, _xlpm.startNum, _xlpm.endSpace - _xlpm.startNum)
    )
)</f>
        <v/>
      </c>
      <c r="I15" t="s">
        <v>13</v>
      </c>
      <c r="J15" t="str">
        <f t="shared" si="5"/>
        <v/>
      </c>
      <c r="K15" t="s">
        <v>13</v>
      </c>
    </row>
    <row r="16" spans="1:12" x14ac:dyDescent="0.3">
      <c r="A16" t="s">
        <v>13</v>
      </c>
      <c r="B16" t="s">
        <v>13</v>
      </c>
      <c r="C16" t="s">
        <v>13</v>
      </c>
      <c r="D16" t="str">
        <f t="shared" si="1"/>
        <v/>
      </c>
      <c r="E16" t="str">
        <f t="shared" si="2"/>
        <v/>
      </c>
      <c r="F16" t="s">
        <v>13</v>
      </c>
      <c r="H16" t="str" cm="1">
        <f t="array" ref="H16">IF(COUNT(FIND({0,1,2,3,4,5,6,7,8,9}, Table1[[#This Row],[title]]))=0, "",
    _xlfn.LET(
        _xlpm.text, Table1[[#This Row],[title]],
        _xlpm.startNum, MIN(FIND({0,1,2,3,4,5,6,7,8,9}, _xlpm.text&amp;"0123456789")),
        _xlpm.endSpace, FIND(" ", _xlpm.text&amp;" ", _xlpm.startNum),
        MID(_xlpm.text, _xlpm.startNum, _xlpm.endSpace - _xlpm.startNum)
    )
)</f>
        <v/>
      </c>
      <c r="I16" t="s">
        <v>13</v>
      </c>
      <c r="J16" t="str">
        <f t="shared" si="5"/>
        <v/>
      </c>
      <c r="K16" t="s">
        <v>13</v>
      </c>
    </row>
    <row r="17" spans="1:11" x14ac:dyDescent="0.3">
      <c r="A17" t="s">
        <v>13</v>
      </c>
      <c r="B17" t="s">
        <v>13</v>
      </c>
      <c r="C17" t="s">
        <v>13</v>
      </c>
      <c r="D17" t="str">
        <f t="shared" si="1"/>
        <v/>
      </c>
      <c r="E17" t="str">
        <f t="shared" si="2"/>
        <v/>
      </c>
      <c r="F17" t="s">
        <v>13</v>
      </c>
      <c r="H17" t="str" cm="1">
        <f t="array" ref="H17">IF(COUNT(FIND({0,1,2,3,4,5,6,7,8,9}, Table1[[#This Row],[title]]))=0, "",
    _xlfn.LET(
        _xlpm.text, Table1[[#This Row],[title]],
        _xlpm.startNum, MIN(FIND({0,1,2,3,4,5,6,7,8,9}, _xlpm.text&amp;"0123456789")),
        _xlpm.endSpace, FIND(" ", _xlpm.text&amp;" ", _xlpm.startNum),
        MID(_xlpm.text, _xlpm.startNum, _xlpm.endSpace - _xlpm.startNum)
    )
)</f>
        <v/>
      </c>
      <c r="I17" t="s">
        <v>13</v>
      </c>
      <c r="J17" t="str">
        <f t="shared" si="5"/>
        <v/>
      </c>
      <c r="K17" t="s">
        <v>13</v>
      </c>
    </row>
    <row r="18" spans="1:11" x14ac:dyDescent="0.3">
      <c r="A18" t="s">
        <v>13</v>
      </c>
      <c r="C18" t="s">
        <v>13</v>
      </c>
      <c r="E18" t="str">
        <f t="shared" si="2"/>
        <v/>
      </c>
      <c r="F18" t="s">
        <v>13</v>
      </c>
      <c r="H18" t="str" cm="1">
        <f t="array" ref="H18">IF(COUNT(FIND({0,1,2,3,4,5,6,7,8,9}, Table1[[#This Row],[title]]))=0, "",
    _xlfn.LET(
        _xlpm.text, Table1[[#This Row],[title]],
        _xlpm.startNum, MIN(FIND({0,1,2,3,4,5,6,7,8,9}, _xlpm.text&amp;"0123456789")),
        _xlpm.endSpace, FIND(" ", _xlpm.text&amp;" ", _xlpm.startNum),
        MID(_xlpm.text, _xlpm.startNum, _xlpm.endSpace - _xlpm.startNum)
    )
)</f>
        <v/>
      </c>
      <c r="I18" t="s">
        <v>13</v>
      </c>
      <c r="J18" t="str">
        <f t="shared" si="5"/>
        <v/>
      </c>
      <c r="K18" t="s">
        <v>13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products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Safieddine</dc:creator>
  <cp:lastModifiedBy>ahmad safieddine</cp:lastModifiedBy>
  <dcterms:created xsi:type="dcterms:W3CDTF">2026-04-09T09:41:13Z</dcterms:created>
  <dcterms:modified xsi:type="dcterms:W3CDTF">2026-07-13T19:12:34Z</dcterms:modified>
</cp:coreProperties>
</file>